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202300"/>
  <mc:AlternateContent xmlns:mc="http://schemas.openxmlformats.org/markup-compatibility/2006">
    <mc:Choice Requires="x15">
      <x15ac:absPath xmlns:x15ac="http://schemas.microsoft.com/office/spreadsheetml/2010/11/ac" url="https://d.docs.live.net/d52a9e9f4ffd636c/Documents/"/>
    </mc:Choice>
  </mc:AlternateContent>
  <xr:revisionPtr revIDLastSave="0" documentId="8_{88E75AEB-0FFA-42D9-9285-C82C8731D993}" xr6:coauthVersionLast="47" xr6:coauthVersionMax="47" xr10:uidLastSave="{00000000-0000-0000-0000-000000000000}"/>
  <bookViews>
    <workbookView xWindow="-108" yWindow="-108" windowWidth="23256" windowHeight="12456" activeTab="1" xr2:uid="{5D23A5BB-387D-4DE7-825D-5B59457F6BEC}"/>
  </bookViews>
  <sheets>
    <sheet name="Sheet1" sheetId="1" r:id="rId1"/>
    <sheet name="Dashboard" sheetId="2" r:id="rId2"/>
  </sheets>
  <definedNames>
    <definedName name="Slicer_grade">#N/A</definedName>
    <definedName name="Slicer_status">#N/A</definedName>
  </definedNames>
  <calcPr calcId="191029"/>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3"/>
        <x14:slicerCache r:id="rId4"/>
      </x15:slicerCache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6" i="2" l="1"/>
  <c r="E5" i="2"/>
  <c r="E4" i="2"/>
  <c r="E3" i="2"/>
  <c r="A6" i="2"/>
  <c r="A5" i="2"/>
  <c r="A4" i="2"/>
  <c r="B6" i="2"/>
  <c r="B5" i="2"/>
  <c r="B4" i="2"/>
  <c r="J6" i="1"/>
  <c r="J7" i="1"/>
  <c r="J8" i="1"/>
  <c r="B3" i="2"/>
  <c r="B2" i="2"/>
  <c r="A3" i="2"/>
  <c r="A2" i="2"/>
  <c r="K4" i="1"/>
  <c r="L4" i="1" s="1"/>
  <c r="K5" i="1"/>
  <c r="K6" i="1"/>
  <c r="K7" i="1"/>
  <c r="K8" i="1"/>
  <c r="L5" i="1"/>
  <c r="L6" i="1"/>
  <c r="L7" i="1"/>
  <c r="L8" i="1"/>
  <c r="J4" i="1"/>
  <c r="J5" i="1"/>
  <c r="I5" i="1"/>
  <c r="I6" i="1"/>
  <c r="I7" i="1"/>
  <c r="I8" i="1"/>
  <c r="I4" i="1"/>
</calcChain>
</file>

<file path=xl/sharedStrings.xml><?xml version="1.0" encoding="utf-8"?>
<sst xmlns="http://schemas.openxmlformats.org/spreadsheetml/2006/main" count="30" uniqueCount="29">
  <si>
    <t>s,no</t>
  </si>
  <si>
    <t xml:space="preserve"> student-name</t>
  </si>
  <si>
    <t>telugu</t>
  </si>
  <si>
    <t>english</t>
  </si>
  <si>
    <t>maths</t>
  </si>
  <si>
    <t>biology</t>
  </si>
  <si>
    <t>hindi</t>
  </si>
  <si>
    <t>social</t>
  </si>
  <si>
    <t>ramesh</t>
  </si>
  <si>
    <t>bhavani</t>
  </si>
  <si>
    <t>nithya</t>
  </si>
  <si>
    <t>faran</t>
  </si>
  <si>
    <t>dileep</t>
  </si>
  <si>
    <t>student record</t>
  </si>
  <si>
    <t>total</t>
  </si>
  <si>
    <t>percentage</t>
  </si>
  <si>
    <t>status</t>
  </si>
  <si>
    <t>grade</t>
  </si>
  <si>
    <t>student performace analysis</t>
  </si>
  <si>
    <t>Name</t>
  </si>
  <si>
    <t>Percentage</t>
  </si>
  <si>
    <t>STUDENT SUMMARY DASHBOARD</t>
  </si>
  <si>
    <t>total students</t>
  </si>
  <si>
    <t>students passed</t>
  </si>
  <si>
    <t>students failed</t>
  </si>
  <si>
    <t>average percentage</t>
  </si>
  <si>
    <t>count</t>
  </si>
  <si>
    <t>pass</t>
  </si>
  <si>
    <t>fail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</si>
</sst>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 #,##0.00_ ;_ * \-#,##0.00_ ;_ * &quot;-&quot;??_ ;_ @_ "/>
    <numFmt numFmtId="164" formatCode="0.0%"/>
  </numFmts>
  <fonts count="9" x14ac:knownFonts="1">
    <font>
      <sz val="11"/>
      <color theme="1"/>
      <name val="Aptos Narrow"/>
      <family val="2"/>
      <scheme val="minor"/>
    </font>
    <font>
      <sz val="11"/>
      <color theme="1"/>
      <name val="Aptos Narrow"/>
      <family val="2"/>
      <scheme val="minor"/>
    </font>
    <font>
      <b/>
      <sz val="11"/>
      <color theme="1"/>
      <name val="Aptos Narrow"/>
      <family val="2"/>
      <scheme val="minor"/>
    </font>
    <font>
      <sz val="22"/>
      <color theme="1"/>
      <name val="Aptos Narrow"/>
      <family val="2"/>
      <scheme val="minor"/>
    </font>
    <font>
      <b/>
      <sz val="10"/>
      <color theme="1"/>
      <name val="Aptos Narrow"/>
      <family val="2"/>
      <scheme val="minor"/>
    </font>
    <font>
      <b/>
      <sz val="12"/>
      <color theme="1"/>
      <name val="Aptos Narrow"/>
      <family val="2"/>
      <scheme val="minor"/>
    </font>
    <font>
      <sz val="8"/>
      <name val="Aptos Narrow"/>
      <family val="2"/>
      <scheme val="minor"/>
    </font>
    <font>
      <sz val="12"/>
      <color theme="3"/>
      <name val="Aptos Narrow"/>
      <family val="2"/>
      <scheme val="minor"/>
    </font>
    <font>
      <sz val="12"/>
      <color theme="1"/>
      <name val="Aptos Narrow"/>
      <family val="2"/>
      <scheme val="minor"/>
    </font>
  </fonts>
  <fills count="4">
    <fill>
      <patternFill patternType="none"/>
    </fill>
    <fill>
      <patternFill patternType="gray125"/>
    </fill>
    <fill>
      <patternFill patternType="solid">
        <fgColor theme="0" tint="-0.34998626667073579"/>
        <bgColor indexed="64"/>
      </patternFill>
    </fill>
    <fill>
      <patternFill patternType="solid">
        <fgColor theme="4" tint="0.79998168889431442"/>
        <bgColor theme="4" tint="0.79998168889431442"/>
      </patternFill>
    </fill>
  </fills>
  <borders count="17">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right/>
      <top style="thin">
        <color theme="4"/>
      </top>
      <bottom/>
      <diagonal/>
    </border>
    <border>
      <left/>
      <right/>
      <top/>
      <bottom style="thin">
        <color theme="4"/>
      </bottom>
      <diagonal/>
    </border>
    <border>
      <left style="thin">
        <color rgb="FF00B0F0"/>
      </left>
      <right style="thin">
        <color indexed="64"/>
      </right>
      <top style="thin">
        <color rgb="FF00B0F0"/>
      </top>
      <bottom style="thin">
        <color theme="4"/>
      </bottom>
      <diagonal/>
    </border>
    <border>
      <left style="thin">
        <color indexed="64"/>
      </left>
      <right style="thin">
        <color rgb="FF00B0F0"/>
      </right>
      <top style="thin">
        <color rgb="FF00B0F0"/>
      </top>
      <bottom style="thin">
        <color indexed="64"/>
      </bottom>
      <diagonal/>
    </border>
    <border>
      <left style="thin">
        <color rgb="FF00B0F0"/>
      </left>
      <right style="thin">
        <color indexed="64"/>
      </right>
      <top/>
      <bottom style="thin">
        <color indexed="64"/>
      </bottom>
      <diagonal/>
    </border>
    <border>
      <left style="thin">
        <color indexed="64"/>
      </left>
      <right style="thin">
        <color rgb="FF00B0F0"/>
      </right>
      <top style="thin">
        <color indexed="64"/>
      </top>
      <bottom style="thin">
        <color indexed="64"/>
      </bottom>
      <diagonal/>
    </border>
    <border>
      <left style="thin">
        <color rgb="FF00B0F0"/>
      </left>
      <right style="thin">
        <color indexed="64"/>
      </right>
      <top style="thin">
        <color indexed="64"/>
      </top>
      <bottom style="thin">
        <color indexed="64"/>
      </bottom>
      <diagonal/>
    </border>
    <border>
      <left style="thin">
        <color rgb="FF00B0F0"/>
      </left>
      <right style="thin">
        <color indexed="64"/>
      </right>
      <top style="thin">
        <color indexed="64"/>
      </top>
      <bottom style="thin">
        <color rgb="FF00B0F0"/>
      </bottom>
      <diagonal/>
    </border>
    <border>
      <left style="thin">
        <color indexed="64"/>
      </left>
      <right style="thin">
        <color rgb="FF00B0F0"/>
      </right>
      <top style="thin">
        <color indexed="64"/>
      </top>
      <bottom style="thin">
        <color rgb="FF00B0F0"/>
      </bottom>
      <diagonal/>
    </border>
  </borders>
  <cellStyleXfs count="3">
    <xf numFmtId="0" fontId="0" fillId="0" borderId="0"/>
    <xf numFmtId="9" fontId="1" fillId="0" borderId="0" applyFont="0" applyFill="0" applyBorder="0" applyAlignment="0" applyProtection="0"/>
    <xf numFmtId="43" fontId="1" fillId="0" borderId="0" applyFont="0" applyFill="0" applyBorder="0" applyAlignment="0" applyProtection="0"/>
  </cellStyleXfs>
  <cellXfs count="37">
    <xf numFmtId="0" fontId="0" fillId="0" borderId="0" xfId="0"/>
    <xf numFmtId="0" fontId="0" fillId="0" borderId="0" xfId="0" applyAlignment="1">
      <alignment horizontal="center"/>
    </xf>
    <xf numFmtId="0" fontId="0" fillId="0" borderId="1" xfId="0" applyBorder="1" applyAlignment="1">
      <alignment horizontal="center"/>
    </xf>
    <xf numFmtId="0" fontId="0" fillId="0" borderId="1" xfId="0" applyBorder="1"/>
    <xf numFmtId="10" fontId="0" fillId="0" borderId="1" xfId="1" applyNumberFormat="1" applyFont="1" applyBorder="1"/>
    <xf numFmtId="0" fontId="0" fillId="0" borderId="2" xfId="0" applyBorder="1" applyAlignment="1">
      <alignment horizontal="center"/>
    </xf>
    <xf numFmtId="0" fontId="0" fillId="0" borderId="6" xfId="0" applyBorder="1" applyAlignment="1">
      <alignment horizontal="center"/>
    </xf>
    <xf numFmtId="0" fontId="0" fillId="0" borderId="7" xfId="0" applyBorder="1" applyAlignment="1">
      <alignment horizontal="center"/>
    </xf>
    <xf numFmtId="0" fontId="2" fillId="2" borderId="3" xfId="0" applyFont="1" applyFill="1" applyBorder="1" applyAlignment="1">
      <alignment horizontal="center"/>
    </xf>
    <xf numFmtId="0" fontId="2" fillId="2" borderId="4" xfId="0" applyFont="1" applyFill="1" applyBorder="1" applyAlignment="1">
      <alignment horizontal="center" vertical="center"/>
    </xf>
    <xf numFmtId="0" fontId="2" fillId="2" borderId="4" xfId="0" applyFont="1" applyFill="1" applyBorder="1" applyAlignment="1">
      <alignment horizontal="center"/>
    </xf>
    <xf numFmtId="0" fontId="2" fillId="2" borderId="5" xfId="0" applyFont="1" applyFill="1" applyBorder="1" applyAlignment="1">
      <alignment horizontal="center"/>
    </xf>
    <xf numFmtId="10" fontId="0" fillId="0" borderId="1" xfId="2" applyNumberFormat="1" applyFont="1" applyBorder="1"/>
    <xf numFmtId="0" fontId="0" fillId="3" borderId="1" xfId="0" applyFill="1" applyBorder="1" applyAlignment="1">
      <alignment horizontal="center"/>
    </xf>
    <xf numFmtId="10" fontId="0" fillId="3" borderId="1" xfId="1" applyNumberFormat="1" applyFont="1" applyFill="1" applyBorder="1"/>
    <xf numFmtId="10" fontId="0" fillId="0" borderId="1" xfId="0" applyNumberFormat="1" applyBorder="1" applyAlignment="1">
      <alignment horizontal="center"/>
    </xf>
    <xf numFmtId="10" fontId="0" fillId="3" borderId="1" xfId="0" applyNumberFormat="1" applyFill="1" applyBorder="1" applyAlignment="1">
      <alignment horizontal="center"/>
    </xf>
    <xf numFmtId="10" fontId="0" fillId="0" borderId="1" xfId="0" applyNumberFormat="1" applyBorder="1"/>
    <xf numFmtId="0" fontId="0" fillId="0" borderId="1" xfId="0" applyBorder="1" applyAlignment="1">
      <alignment horizontal="center" vertical="center"/>
    </xf>
    <xf numFmtId="0" fontId="2" fillId="0" borderId="1" xfId="0" applyFont="1" applyBorder="1" applyAlignment="1">
      <alignment horizontal="center" vertical="center"/>
    </xf>
    <xf numFmtId="0" fontId="2" fillId="0" borderId="1" xfId="0" applyFont="1" applyBorder="1"/>
    <xf numFmtId="0" fontId="0" fillId="0" borderId="8" xfId="0" applyBorder="1"/>
    <xf numFmtId="0" fontId="0" fillId="0" borderId="9" xfId="0" applyBorder="1"/>
    <xf numFmtId="0" fontId="5" fillId="0" borderId="10" xfId="0" applyFont="1" applyBorder="1"/>
    <xf numFmtId="0" fontId="5" fillId="0" borderId="11" xfId="0" applyFont="1" applyBorder="1"/>
    <xf numFmtId="0" fontId="5" fillId="0" borderId="12" xfId="0" applyFont="1" applyBorder="1"/>
    <xf numFmtId="0" fontId="5" fillId="0" borderId="13" xfId="0" applyFont="1" applyBorder="1"/>
    <xf numFmtId="0" fontId="5" fillId="0" borderId="14" xfId="0" applyFont="1" applyBorder="1"/>
    <xf numFmtId="0" fontId="5" fillId="0" borderId="15" xfId="0" applyFont="1" applyBorder="1"/>
    <xf numFmtId="0" fontId="3" fillId="0" borderId="0" xfId="0" applyFont="1" applyAlignment="1">
      <alignment horizontal="center"/>
    </xf>
    <xf numFmtId="0" fontId="4" fillId="0" borderId="0" xfId="0" applyFont="1" applyAlignment="1">
      <alignment horizontal="center"/>
    </xf>
    <xf numFmtId="0" fontId="0" fillId="0" borderId="0" xfId="0" applyAlignment="1">
      <alignment horizontal="center"/>
    </xf>
    <xf numFmtId="0" fontId="5" fillId="0" borderId="0" xfId="0" applyFont="1" applyAlignment="1">
      <alignment horizontal="center"/>
    </xf>
    <xf numFmtId="164" fontId="5" fillId="0" borderId="16" xfId="0" applyNumberFormat="1" applyFont="1" applyBorder="1"/>
    <xf numFmtId="0" fontId="5" fillId="0" borderId="1" xfId="0" applyFont="1" applyBorder="1"/>
    <xf numFmtId="0" fontId="7" fillId="0" borderId="1" xfId="0" applyFont="1" applyBorder="1"/>
    <xf numFmtId="0" fontId="8" fillId="0" borderId="1" xfId="0" applyFont="1" applyBorder="1"/>
  </cellXfs>
  <cellStyles count="3">
    <cellStyle name="Comma" xfId="2" builtinId="3"/>
    <cellStyle name="Normal" xfId="0" builtinId="0"/>
    <cellStyle name="Percent" xfId="1" builtinId="5"/>
  </cellStyles>
  <dxfs count="63">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dxf>
    <dxf>
      <font>
        <color rgb="FF006100"/>
      </font>
      <fill>
        <patternFill>
          <bgColor rgb="FFC6EFCE"/>
        </patternFill>
      </fill>
    </dxf>
    <dxf>
      <border>
        <vertical/>
        <horizontal/>
      </border>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dxf>
    <dxf>
      <font>
        <color rgb="FF006100"/>
      </font>
      <fill>
        <patternFill>
          <bgColor rgb="FFC6EFCE"/>
        </patternFill>
      </fill>
    </dxf>
    <dxf>
      <border>
        <vertical/>
        <horizontal/>
      </border>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dxf>
    <dxf>
      <font>
        <color rgb="FF006100"/>
      </font>
      <fill>
        <patternFill>
          <bgColor rgb="FFC6EFCE"/>
        </patternFill>
      </fill>
    </dxf>
    <dxf>
      <border>
        <vertical/>
        <horizontal/>
      </border>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dxf>
    <dxf>
      <font>
        <color rgb="FF006100"/>
      </font>
      <fill>
        <patternFill>
          <bgColor rgb="FFC6EFCE"/>
        </patternFill>
      </fill>
    </dxf>
    <dxf>
      <border>
        <vertical/>
        <horizontal/>
      </border>
    </dxf>
    <dxf>
      <font>
        <color rgb="FF9C0006"/>
      </font>
      <fill>
        <patternFill>
          <bgColor rgb="FFFFC7CE"/>
        </patternFill>
      </fill>
    </dxf>
    <dxf>
      <font>
        <color rgb="FF9C0006"/>
      </font>
      <fill>
        <patternFill>
          <bgColor rgb="FFFFC7CE"/>
        </patternFill>
      </fill>
    </dxf>
    <dxf>
      <font>
        <color rgb="FF9C0006"/>
      </font>
    </dxf>
    <dxf>
      <font>
        <color rgb="FF006100"/>
      </font>
      <fill>
        <patternFill>
          <bgColor rgb="FFC6EFCE"/>
        </patternFill>
      </fill>
    </dxf>
    <dxf>
      <border>
        <vertical/>
        <horizontal/>
      </border>
    </dxf>
    <dxf>
      <font>
        <color rgb="FF9C0006"/>
      </font>
      <fill>
        <patternFill>
          <bgColor rgb="FFFFC7CE"/>
        </patternFill>
      </fill>
    </dxf>
    <dxf>
      <font>
        <color rgb="FF9C0006"/>
      </font>
    </dxf>
    <dxf>
      <font>
        <color rgb="FF006100"/>
      </font>
      <fill>
        <patternFill>
          <bgColor rgb="FFC6EFCE"/>
        </patternFill>
      </fill>
    </dxf>
    <dxf>
      <border>
        <vertical/>
        <horizontal/>
      </border>
    </dxf>
    <dxf>
      <font>
        <color rgb="FF9C0006"/>
      </font>
      <fill>
        <patternFill>
          <bgColor rgb="FFFFC7CE"/>
        </patternFill>
      </fill>
    </dxf>
    <dxf>
      <font>
        <color rgb="FF006100"/>
      </font>
      <fill>
        <patternFill>
          <bgColor rgb="FFC6EFCE"/>
        </patternFill>
      </fill>
    </dxf>
    <dxf>
      <border>
        <vertical/>
        <horizontal/>
      </border>
    </dxf>
    <dxf>
      <font>
        <color rgb="FF9C0006"/>
      </font>
      <fill>
        <patternFill>
          <bgColor rgb="FFFFC7CE"/>
        </patternFill>
      </fill>
    </dxf>
    <dxf>
      <border>
        <vertical/>
        <horizontal/>
      </border>
    </dxf>
    <dxf>
      <font>
        <color rgb="FF9C0006"/>
      </font>
      <fill>
        <patternFill>
          <bgColor rgb="FFFFC7CE"/>
        </patternFill>
      </fill>
    </dxf>
    <dxf>
      <font>
        <color rgb="FF9C0006"/>
      </font>
      <fill>
        <patternFill>
          <bgColor rgb="FFFFC7CE"/>
        </patternFill>
      </fill>
    </dxf>
    <dxf>
      <fill>
        <patternFill>
          <bgColor theme="9"/>
        </patternFill>
      </fill>
    </dxf>
    <dxf>
      <fill>
        <patternFill>
          <bgColor rgb="FFFF0000"/>
        </patternFill>
      </fill>
    </dxf>
    <dxf>
      <numFmt numFmtId="0" formatCode="General"/>
      <border diagonalUp="0" diagonalDown="0">
        <left style="thin">
          <color indexed="64"/>
        </left>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numFmt numFmtId="14" formatCode="0.00%"/>
      <border diagonalUp="0" diagonalDown="0">
        <left style="thin">
          <color indexed="64"/>
        </left>
        <right style="thin">
          <color indexed="64"/>
        </right>
        <top style="thin">
          <color indexed="64"/>
        </top>
        <bottom style="thin">
          <color indexed="64"/>
        </bottom>
        <vertical/>
        <horizontal/>
      </border>
    </dxf>
    <dxf>
      <numFmt numFmtId="0" formatCode="General"/>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1"/>
        <color theme="1"/>
        <name val="Aptos Narrow"/>
        <family val="2"/>
        <scheme val="minor"/>
      </font>
      <fill>
        <patternFill patternType="solid">
          <fgColor indexed="64"/>
          <bgColor theme="0" tint="-0.34998626667073579"/>
        </patternFill>
      </fill>
      <alignment horizontal="center" vertical="bottom" textRotation="0" wrapText="0"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microsoft.com/office/2007/relationships/slicerCache" Target="slicerCaches/slicerCache1.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microsoft.com/office/2007/relationships/slicerCache" Target="slicerCaches/slicerCache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0969203849518812"/>
          <c:y val="0.15730392156862746"/>
          <c:w val="0.89030796150481195"/>
          <c:h val="0.46817044928207502"/>
        </c:manualLayout>
      </c:layout>
      <c:barChart>
        <c:barDir val="col"/>
        <c:grouping val="clustered"/>
        <c:varyColors val="0"/>
        <c:ser>
          <c:idx val="0"/>
          <c:order val="0"/>
          <c:tx>
            <c:strRef>
              <c:f>Sheet1!$A$4:$B$4</c:f>
              <c:strCache>
                <c:ptCount val="2"/>
                <c:pt idx="0">
                  <c:v>1</c:v>
                </c:pt>
                <c:pt idx="1">
                  <c:v>ramesh</c:v>
                </c:pt>
              </c:strCache>
            </c:strRef>
          </c:tx>
          <c:spPr>
            <a:solidFill>
              <a:schemeClr val="accent1"/>
            </a:solidFill>
            <a:ln>
              <a:noFill/>
            </a:ln>
            <a:effectLst/>
          </c:spPr>
          <c:invertIfNegative val="0"/>
          <c:cat>
            <c:strRef>
              <c:f>Sheet1!$C$3:$K$3</c:f>
              <c:strCache>
                <c:ptCount val="9"/>
                <c:pt idx="0">
                  <c:v>telugu</c:v>
                </c:pt>
                <c:pt idx="1">
                  <c:v>english</c:v>
                </c:pt>
                <c:pt idx="2">
                  <c:v>maths</c:v>
                </c:pt>
                <c:pt idx="3">
                  <c:v>biology</c:v>
                </c:pt>
                <c:pt idx="4">
                  <c:v>hindi</c:v>
                </c:pt>
                <c:pt idx="5">
                  <c:v>social</c:v>
                </c:pt>
                <c:pt idx="6">
                  <c:v>total</c:v>
                </c:pt>
                <c:pt idx="7">
                  <c:v>percentage</c:v>
                </c:pt>
                <c:pt idx="8">
                  <c:v>status</c:v>
                </c:pt>
              </c:strCache>
            </c:strRef>
          </c:cat>
          <c:val>
            <c:numRef>
              <c:f>Sheet1!$C$4:$K$4</c:f>
              <c:numCache>
                <c:formatCode>General</c:formatCode>
                <c:ptCount val="9"/>
                <c:pt idx="0">
                  <c:v>45</c:v>
                </c:pt>
                <c:pt idx="1">
                  <c:v>67</c:v>
                </c:pt>
                <c:pt idx="2">
                  <c:v>36</c:v>
                </c:pt>
                <c:pt idx="3">
                  <c:v>78</c:v>
                </c:pt>
                <c:pt idx="4">
                  <c:v>32</c:v>
                </c:pt>
                <c:pt idx="5">
                  <c:v>87</c:v>
                </c:pt>
                <c:pt idx="6">
                  <c:v>345</c:v>
                </c:pt>
                <c:pt idx="7" formatCode="0.00%">
                  <c:v>0.57499999999999996</c:v>
                </c:pt>
                <c:pt idx="8">
                  <c:v>0</c:v>
                </c:pt>
              </c:numCache>
            </c:numRef>
          </c:val>
          <c:extLst>
            <c:ext xmlns:c16="http://schemas.microsoft.com/office/drawing/2014/chart" uri="{C3380CC4-5D6E-409C-BE32-E72D297353CC}">
              <c16:uniqueId val="{00000000-6D6A-4FDD-9050-083871CFED9B}"/>
            </c:ext>
          </c:extLst>
        </c:ser>
        <c:ser>
          <c:idx val="1"/>
          <c:order val="1"/>
          <c:tx>
            <c:strRef>
              <c:f>Sheet1!$A$5:$B$5</c:f>
              <c:strCache>
                <c:ptCount val="2"/>
                <c:pt idx="0">
                  <c:v>2</c:v>
                </c:pt>
                <c:pt idx="1">
                  <c:v>bhavani</c:v>
                </c:pt>
              </c:strCache>
            </c:strRef>
          </c:tx>
          <c:spPr>
            <a:solidFill>
              <a:schemeClr val="accent2"/>
            </a:solidFill>
            <a:ln>
              <a:noFill/>
            </a:ln>
            <a:effectLst/>
          </c:spPr>
          <c:invertIfNegative val="0"/>
          <c:cat>
            <c:strRef>
              <c:f>Sheet1!$C$3:$K$3</c:f>
              <c:strCache>
                <c:ptCount val="9"/>
                <c:pt idx="0">
                  <c:v>telugu</c:v>
                </c:pt>
                <c:pt idx="1">
                  <c:v>english</c:v>
                </c:pt>
                <c:pt idx="2">
                  <c:v>maths</c:v>
                </c:pt>
                <c:pt idx="3">
                  <c:v>biology</c:v>
                </c:pt>
                <c:pt idx="4">
                  <c:v>hindi</c:v>
                </c:pt>
                <c:pt idx="5">
                  <c:v>social</c:v>
                </c:pt>
                <c:pt idx="6">
                  <c:v>total</c:v>
                </c:pt>
                <c:pt idx="7">
                  <c:v>percentage</c:v>
                </c:pt>
                <c:pt idx="8">
                  <c:v>status</c:v>
                </c:pt>
              </c:strCache>
            </c:strRef>
          </c:cat>
          <c:val>
            <c:numRef>
              <c:f>Sheet1!$C$5:$K$5</c:f>
              <c:numCache>
                <c:formatCode>General</c:formatCode>
                <c:ptCount val="9"/>
                <c:pt idx="0">
                  <c:v>55</c:v>
                </c:pt>
                <c:pt idx="1">
                  <c:v>88</c:v>
                </c:pt>
                <c:pt idx="2">
                  <c:v>67</c:v>
                </c:pt>
                <c:pt idx="3">
                  <c:v>88</c:v>
                </c:pt>
                <c:pt idx="4">
                  <c:v>43</c:v>
                </c:pt>
                <c:pt idx="5">
                  <c:v>98</c:v>
                </c:pt>
                <c:pt idx="6">
                  <c:v>439</c:v>
                </c:pt>
                <c:pt idx="7" formatCode="0.00%">
                  <c:v>0.73166666666666669</c:v>
                </c:pt>
                <c:pt idx="8">
                  <c:v>0</c:v>
                </c:pt>
              </c:numCache>
            </c:numRef>
          </c:val>
          <c:extLst>
            <c:ext xmlns:c16="http://schemas.microsoft.com/office/drawing/2014/chart" uri="{C3380CC4-5D6E-409C-BE32-E72D297353CC}">
              <c16:uniqueId val="{00000001-6D6A-4FDD-9050-083871CFED9B}"/>
            </c:ext>
          </c:extLst>
        </c:ser>
        <c:ser>
          <c:idx val="2"/>
          <c:order val="2"/>
          <c:tx>
            <c:strRef>
              <c:f>Sheet1!$A$6:$B$6</c:f>
              <c:strCache>
                <c:ptCount val="2"/>
                <c:pt idx="0">
                  <c:v>3</c:v>
                </c:pt>
                <c:pt idx="1">
                  <c:v>nithya</c:v>
                </c:pt>
              </c:strCache>
            </c:strRef>
          </c:tx>
          <c:spPr>
            <a:solidFill>
              <a:schemeClr val="accent3"/>
            </a:solidFill>
            <a:ln>
              <a:noFill/>
            </a:ln>
            <a:effectLst/>
          </c:spPr>
          <c:invertIfNegative val="0"/>
          <c:cat>
            <c:strRef>
              <c:f>Sheet1!$C$3:$K$3</c:f>
              <c:strCache>
                <c:ptCount val="9"/>
                <c:pt idx="0">
                  <c:v>telugu</c:v>
                </c:pt>
                <c:pt idx="1">
                  <c:v>english</c:v>
                </c:pt>
                <c:pt idx="2">
                  <c:v>maths</c:v>
                </c:pt>
                <c:pt idx="3">
                  <c:v>biology</c:v>
                </c:pt>
                <c:pt idx="4">
                  <c:v>hindi</c:v>
                </c:pt>
                <c:pt idx="5">
                  <c:v>social</c:v>
                </c:pt>
                <c:pt idx="6">
                  <c:v>total</c:v>
                </c:pt>
                <c:pt idx="7">
                  <c:v>percentage</c:v>
                </c:pt>
                <c:pt idx="8">
                  <c:v>status</c:v>
                </c:pt>
              </c:strCache>
            </c:strRef>
          </c:cat>
          <c:val>
            <c:numRef>
              <c:f>Sheet1!$C$6:$K$6</c:f>
              <c:numCache>
                <c:formatCode>General</c:formatCode>
                <c:ptCount val="9"/>
                <c:pt idx="0">
                  <c:v>12</c:v>
                </c:pt>
                <c:pt idx="1">
                  <c:v>23</c:v>
                </c:pt>
                <c:pt idx="2">
                  <c:v>15</c:v>
                </c:pt>
                <c:pt idx="3">
                  <c:v>32</c:v>
                </c:pt>
                <c:pt idx="4">
                  <c:v>11</c:v>
                </c:pt>
                <c:pt idx="5">
                  <c:v>32</c:v>
                </c:pt>
                <c:pt idx="6">
                  <c:v>125</c:v>
                </c:pt>
                <c:pt idx="7" formatCode="0.00%">
                  <c:v>0.20833333333333334</c:v>
                </c:pt>
                <c:pt idx="8">
                  <c:v>0</c:v>
                </c:pt>
              </c:numCache>
            </c:numRef>
          </c:val>
          <c:extLst>
            <c:ext xmlns:c16="http://schemas.microsoft.com/office/drawing/2014/chart" uri="{C3380CC4-5D6E-409C-BE32-E72D297353CC}">
              <c16:uniqueId val="{00000002-6D6A-4FDD-9050-083871CFED9B}"/>
            </c:ext>
          </c:extLst>
        </c:ser>
        <c:ser>
          <c:idx val="3"/>
          <c:order val="3"/>
          <c:tx>
            <c:strRef>
              <c:f>Sheet1!$A$7:$B$7</c:f>
              <c:strCache>
                <c:ptCount val="2"/>
                <c:pt idx="0">
                  <c:v>4</c:v>
                </c:pt>
                <c:pt idx="1">
                  <c:v>faran</c:v>
                </c:pt>
              </c:strCache>
            </c:strRef>
          </c:tx>
          <c:spPr>
            <a:solidFill>
              <a:schemeClr val="accent4"/>
            </a:solidFill>
            <a:ln>
              <a:noFill/>
            </a:ln>
            <a:effectLst/>
          </c:spPr>
          <c:invertIfNegative val="0"/>
          <c:cat>
            <c:strRef>
              <c:f>Sheet1!$C$3:$K$3</c:f>
              <c:strCache>
                <c:ptCount val="9"/>
                <c:pt idx="0">
                  <c:v>telugu</c:v>
                </c:pt>
                <c:pt idx="1">
                  <c:v>english</c:v>
                </c:pt>
                <c:pt idx="2">
                  <c:v>maths</c:v>
                </c:pt>
                <c:pt idx="3">
                  <c:v>biology</c:v>
                </c:pt>
                <c:pt idx="4">
                  <c:v>hindi</c:v>
                </c:pt>
                <c:pt idx="5">
                  <c:v>social</c:v>
                </c:pt>
                <c:pt idx="6">
                  <c:v>total</c:v>
                </c:pt>
                <c:pt idx="7">
                  <c:v>percentage</c:v>
                </c:pt>
                <c:pt idx="8">
                  <c:v>status</c:v>
                </c:pt>
              </c:strCache>
            </c:strRef>
          </c:cat>
          <c:val>
            <c:numRef>
              <c:f>Sheet1!$C$7:$K$7</c:f>
              <c:numCache>
                <c:formatCode>General</c:formatCode>
                <c:ptCount val="9"/>
                <c:pt idx="0">
                  <c:v>39</c:v>
                </c:pt>
                <c:pt idx="1">
                  <c:v>45</c:v>
                </c:pt>
                <c:pt idx="2">
                  <c:v>69</c:v>
                </c:pt>
                <c:pt idx="3">
                  <c:v>84</c:v>
                </c:pt>
                <c:pt idx="4">
                  <c:v>65</c:v>
                </c:pt>
                <c:pt idx="5">
                  <c:v>60</c:v>
                </c:pt>
                <c:pt idx="6">
                  <c:v>362</c:v>
                </c:pt>
                <c:pt idx="7" formatCode="0.00%">
                  <c:v>0.60333333333333339</c:v>
                </c:pt>
                <c:pt idx="8">
                  <c:v>0</c:v>
                </c:pt>
              </c:numCache>
            </c:numRef>
          </c:val>
          <c:extLst>
            <c:ext xmlns:c16="http://schemas.microsoft.com/office/drawing/2014/chart" uri="{C3380CC4-5D6E-409C-BE32-E72D297353CC}">
              <c16:uniqueId val="{00000003-6D6A-4FDD-9050-083871CFED9B}"/>
            </c:ext>
          </c:extLst>
        </c:ser>
        <c:ser>
          <c:idx val="4"/>
          <c:order val="4"/>
          <c:tx>
            <c:strRef>
              <c:f>Sheet1!$A$8:$B$8</c:f>
              <c:strCache>
                <c:ptCount val="2"/>
                <c:pt idx="0">
                  <c:v>5</c:v>
                </c:pt>
                <c:pt idx="1">
                  <c:v>dileep</c:v>
                </c:pt>
              </c:strCache>
            </c:strRef>
          </c:tx>
          <c:spPr>
            <a:solidFill>
              <a:schemeClr val="accent5"/>
            </a:solidFill>
            <a:ln>
              <a:noFill/>
            </a:ln>
            <a:effectLst/>
          </c:spPr>
          <c:invertIfNegative val="0"/>
          <c:cat>
            <c:strRef>
              <c:f>Sheet1!$C$3:$K$3</c:f>
              <c:strCache>
                <c:ptCount val="9"/>
                <c:pt idx="0">
                  <c:v>telugu</c:v>
                </c:pt>
                <c:pt idx="1">
                  <c:v>english</c:v>
                </c:pt>
                <c:pt idx="2">
                  <c:v>maths</c:v>
                </c:pt>
                <c:pt idx="3">
                  <c:v>biology</c:v>
                </c:pt>
                <c:pt idx="4">
                  <c:v>hindi</c:v>
                </c:pt>
                <c:pt idx="5">
                  <c:v>social</c:v>
                </c:pt>
                <c:pt idx="6">
                  <c:v>total</c:v>
                </c:pt>
                <c:pt idx="7">
                  <c:v>percentage</c:v>
                </c:pt>
                <c:pt idx="8">
                  <c:v>status</c:v>
                </c:pt>
              </c:strCache>
            </c:strRef>
          </c:cat>
          <c:val>
            <c:numRef>
              <c:f>Sheet1!$C$8:$K$8</c:f>
              <c:numCache>
                <c:formatCode>General</c:formatCode>
                <c:ptCount val="9"/>
                <c:pt idx="0">
                  <c:v>55</c:v>
                </c:pt>
                <c:pt idx="1">
                  <c:v>52</c:v>
                </c:pt>
                <c:pt idx="2">
                  <c:v>70</c:v>
                </c:pt>
                <c:pt idx="3">
                  <c:v>66</c:v>
                </c:pt>
                <c:pt idx="4">
                  <c:v>76</c:v>
                </c:pt>
                <c:pt idx="5">
                  <c:v>70</c:v>
                </c:pt>
                <c:pt idx="6">
                  <c:v>389</c:v>
                </c:pt>
                <c:pt idx="7" formatCode="0.00%">
                  <c:v>0.64833333333333332</c:v>
                </c:pt>
                <c:pt idx="8">
                  <c:v>0</c:v>
                </c:pt>
              </c:numCache>
            </c:numRef>
          </c:val>
          <c:extLst>
            <c:ext xmlns:c16="http://schemas.microsoft.com/office/drawing/2014/chart" uri="{C3380CC4-5D6E-409C-BE32-E72D297353CC}">
              <c16:uniqueId val="{00000004-6D6A-4FDD-9050-083871CFED9B}"/>
            </c:ext>
          </c:extLst>
        </c:ser>
        <c:dLbls>
          <c:showLegendKey val="0"/>
          <c:showVal val="0"/>
          <c:showCatName val="0"/>
          <c:showSerName val="0"/>
          <c:showPercent val="0"/>
          <c:showBubbleSize val="0"/>
        </c:dLbls>
        <c:gapWidth val="219"/>
        <c:overlap val="-27"/>
        <c:axId val="386920608"/>
        <c:axId val="213785680"/>
      </c:barChart>
      <c:catAx>
        <c:axId val="3869206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785680"/>
        <c:crosses val="autoZero"/>
        <c:auto val="1"/>
        <c:lblAlgn val="ctr"/>
        <c:lblOffset val="100"/>
        <c:noMultiLvlLbl val="0"/>
      </c:catAx>
      <c:valAx>
        <c:axId val="2137856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692060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600" b="1"/>
              <a:t>student</a:t>
            </a:r>
            <a:r>
              <a:rPr lang="en-IN" sz="1600" b="1" baseline="0"/>
              <a:t> performance analysis</a:t>
            </a:r>
            <a:endParaRPr lang="en-IN" sz="16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manualLayout>
          <c:layoutTarget val="inner"/>
          <c:xMode val="edge"/>
          <c:yMode val="edge"/>
          <c:x val="0.13120603674540682"/>
          <c:y val="0.16451407115777195"/>
          <c:w val="0.85212729658792652"/>
          <c:h val="0.60403506853310007"/>
        </c:manualLayout>
      </c:layout>
      <c:barChart>
        <c:barDir val="col"/>
        <c:grouping val="clustered"/>
        <c:varyColors val="0"/>
        <c:ser>
          <c:idx val="0"/>
          <c:order val="0"/>
          <c:tx>
            <c:strRef>
              <c:f>Dashboard!$A$2</c:f>
              <c:strCache>
                <c:ptCount val="1"/>
                <c:pt idx="0">
                  <c:v>ramesh</c:v>
                </c:pt>
              </c:strCache>
            </c:strRef>
          </c:tx>
          <c:spPr>
            <a:solidFill>
              <a:schemeClr val="accent1"/>
            </a:solidFill>
            <a:ln>
              <a:noFill/>
            </a:ln>
            <a:effectLst/>
          </c:spPr>
          <c:invertIfNegative val="0"/>
          <c:val>
            <c:numRef>
              <c:f>Dashboard!$B$2</c:f>
              <c:numCache>
                <c:formatCode>0.00%</c:formatCode>
                <c:ptCount val="1"/>
                <c:pt idx="0">
                  <c:v>0.57499999999999996</c:v>
                </c:pt>
              </c:numCache>
            </c:numRef>
          </c:val>
          <c:extLst>
            <c:ext xmlns:c16="http://schemas.microsoft.com/office/drawing/2014/chart" uri="{C3380CC4-5D6E-409C-BE32-E72D297353CC}">
              <c16:uniqueId val="{00000000-76DF-4DE1-B03C-FE98933EA21F}"/>
            </c:ext>
          </c:extLst>
        </c:ser>
        <c:ser>
          <c:idx val="1"/>
          <c:order val="1"/>
          <c:tx>
            <c:strRef>
              <c:f>Dashboard!$A$3</c:f>
              <c:strCache>
                <c:ptCount val="1"/>
                <c:pt idx="0">
                  <c:v>bhavani</c:v>
                </c:pt>
              </c:strCache>
            </c:strRef>
          </c:tx>
          <c:spPr>
            <a:solidFill>
              <a:schemeClr val="accent2"/>
            </a:solidFill>
            <a:ln>
              <a:noFill/>
            </a:ln>
            <a:effectLst/>
          </c:spPr>
          <c:invertIfNegative val="0"/>
          <c:val>
            <c:numRef>
              <c:f>Dashboard!$B$3</c:f>
              <c:numCache>
                <c:formatCode>0.00%</c:formatCode>
                <c:ptCount val="1"/>
                <c:pt idx="0">
                  <c:v>0.73166666666666669</c:v>
                </c:pt>
              </c:numCache>
            </c:numRef>
          </c:val>
          <c:extLst>
            <c:ext xmlns:c16="http://schemas.microsoft.com/office/drawing/2014/chart" uri="{C3380CC4-5D6E-409C-BE32-E72D297353CC}">
              <c16:uniqueId val="{00000001-76DF-4DE1-B03C-FE98933EA21F}"/>
            </c:ext>
          </c:extLst>
        </c:ser>
        <c:ser>
          <c:idx val="2"/>
          <c:order val="2"/>
          <c:tx>
            <c:strRef>
              <c:f>Dashboard!$A$4</c:f>
              <c:strCache>
                <c:ptCount val="1"/>
                <c:pt idx="0">
                  <c:v>nithya</c:v>
                </c:pt>
              </c:strCache>
            </c:strRef>
          </c:tx>
          <c:spPr>
            <a:solidFill>
              <a:schemeClr val="accent3"/>
            </a:solidFill>
            <a:ln>
              <a:noFill/>
            </a:ln>
            <a:effectLst/>
          </c:spPr>
          <c:invertIfNegative val="0"/>
          <c:val>
            <c:numRef>
              <c:f>Dashboard!$B$4</c:f>
              <c:numCache>
                <c:formatCode>0.00%</c:formatCode>
                <c:ptCount val="1"/>
                <c:pt idx="0">
                  <c:v>0.20833333333333334</c:v>
                </c:pt>
              </c:numCache>
            </c:numRef>
          </c:val>
          <c:extLst>
            <c:ext xmlns:c16="http://schemas.microsoft.com/office/drawing/2014/chart" uri="{C3380CC4-5D6E-409C-BE32-E72D297353CC}">
              <c16:uniqueId val="{00000002-76DF-4DE1-B03C-FE98933EA21F}"/>
            </c:ext>
          </c:extLst>
        </c:ser>
        <c:ser>
          <c:idx val="3"/>
          <c:order val="3"/>
          <c:tx>
            <c:strRef>
              <c:f>Dashboard!$A$5</c:f>
              <c:strCache>
                <c:ptCount val="1"/>
                <c:pt idx="0">
                  <c:v>faran</c:v>
                </c:pt>
              </c:strCache>
            </c:strRef>
          </c:tx>
          <c:spPr>
            <a:solidFill>
              <a:schemeClr val="accent4"/>
            </a:solidFill>
            <a:ln>
              <a:noFill/>
            </a:ln>
            <a:effectLst/>
          </c:spPr>
          <c:invertIfNegative val="0"/>
          <c:val>
            <c:numRef>
              <c:f>Dashboard!$B$5</c:f>
              <c:numCache>
                <c:formatCode>0.00%</c:formatCode>
                <c:ptCount val="1"/>
                <c:pt idx="0">
                  <c:v>0.60333333333333339</c:v>
                </c:pt>
              </c:numCache>
            </c:numRef>
          </c:val>
          <c:extLst>
            <c:ext xmlns:c16="http://schemas.microsoft.com/office/drawing/2014/chart" uri="{C3380CC4-5D6E-409C-BE32-E72D297353CC}">
              <c16:uniqueId val="{00000003-76DF-4DE1-B03C-FE98933EA21F}"/>
            </c:ext>
          </c:extLst>
        </c:ser>
        <c:ser>
          <c:idx val="4"/>
          <c:order val="4"/>
          <c:tx>
            <c:strRef>
              <c:f>Dashboard!$A$6</c:f>
              <c:strCache>
                <c:ptCount val="1"/>
                <c:pt idx="0">
                  <c:v>dileep</c:v>
                </c:pt>
              </c:strCache>
            </c:strRef>
          </c:tx>
          <c:spPr>
            <a:solidFill>
              <a:schemeClr val="accent5"/>
            </a:solidFill>
            <a:ln>
              <a:noFill/>
            </a:ln>
            <a:effectLst/>
          </c:spPr>
          <c:invertIfNegative val="0"/>
          <c:val>
            <c:numRef>
              <c:f>Dashboard!$B$6</c:f>
              <c:numCache>
                <c:formatCode>0.00%</c:formatCode>
                <c:ptCount val="1"/>
                <c:pt idx="0">
                  <c:v>0.64833333333333332</c:v>
                </c:pt>
              </c:numCache>
            </c:numRef>
          </c:val>
          <c:extLst>
            <c:ext xmlns:c16="http://schemas.microsoft.com/office/drawing/2014/chart" uri="{C3380CC4-5D6E-409C-BE32-E72D297353CC}">
              <c16:uniqueId val="{00000004-76DF-4DE1-B03C-FE98933EA21F}"/>
            </c:ext>
          </c:extLst>
        </c:ser>
        <c:dLbls>
          <c:showLegendKey val="0"/>
          <c:showVal val="0"/>
          <c:showCatName val="0"/>
          <c:showSerName val="0"/>
          <c:showPercent val="0"/>
          <c:showBubbleSize val="0"/>
        </c:dLbls>
        <c:gapWidth val="219"/>
        <c:overlap val="-27"/>
        <c:axId val="1615009807"/>
        <c:axId val="1403446671"/>
      </c:barChart>
      <c:catAx>
        <c:axId val="16150098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3446671"/>
        <c:crosses val="autoZero"/>
        <c:auto val="1"/>
        <c:lblAlgn val="ctr"/>
        <c:lblOffset val="100"/>
        <c:noMultiLvlLbl val="0"/>
      </c:catAx>
      <c:valAx>
        <c:axId val="1403446671"/>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500980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lotArea>
      <c:layout/>
      <c:pieChart>
        <c:varyColors val="1"/>
        <c:ser>
          <c:idx val="0"/>
          <c:order val="0"/>
          <c:tx>
            <c:strRef>
              <c:f>Dashboard!$I$2</c:f>
              <c:strCache>
                <c:ptCount val="1"/>
                <c:pt idx="0">
                  <c:v>count</c:v>
                </c:pt>
              </c:strCache>
            </c:strRef>
          </c:tx>
          <c:dPt>
            <c:idx val="0"/>
            <c:bubble3D val="0"/>
            <c:spPr>
              <a:solidFill>
                <a:schemeClr val="accent2"/>
              </a:solidFill>
              <a:ln>
                <a:noFill/>
              </a:ln>
              <a:effectLst>
                <a:outerShdw blurRad="254000" sx="102000" sy="102000" algn="ctr" rotWithShape="0">
                  <a:prstClr val="black">
                    <a:alpha val="20000"/>
                  </a:prstClr>
                </a:outerShdw>
              </a:effectLst>
            </c:spPr>
          </c:dPt>
          <c:dPt>
            <c:idx val="1"/>
            <c:bubble3D val="0"/>
            <c:spPr>
              <a:solidFill>
                <a:schemeClr val="accent4"/>
              </a:solidFill>
              <a:ln>
                <a:noFill/>
              </a:ln>
              <a:effectLst>
                <a:outerShdw blurRad="254000" sx="102000" sy="102000" algn="ctr" rotWithShape="0">
                  <a:prstClr val="black">
                    <a:alpha val="20000"/>
                  </a:prstClr>
                </a:outerShdw>
              </a:effectLst>
            </c:spPr>
          </c:dPt>
          <c:dLbls>
            <c:spPr>
              <a:pattFill prst="pct75">
                <a:fgClr>
                  <a:schemeClr val="dk1">
                    <a:lumMod val="75000"/>
                    <a:lumOff val="25000"/>
                  </a:schemeClr>
                </a:fgClr>
                <a:bgClr>
                  <a:schemeClr val="dk1">
                    <a:lumMod val="65000"/>
                    <a:lumOff val="35000"/>
                  </a:scheme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Dashboard!$H$3:$H$4</c:f>
              <c:strCache>
                <c:ptCount val="2"/>
                <c:pt idx="0">
                  <c:v>pass</c:v>
                </c:pt>
                <c:pt idx="1">
                  <c:v>fail</c:v>
                </c:pt>
              </c:strCache>
            </c:strRef>
          </c:cat>
          <c:val>
            <c:numRef>
              <c:f>Dashboard!$I$3:$I$4</c:f>
              <c:numCache>
                <c:formatCode>General</c:formatCode>
                <c:ptCount val="2"/>
                <c:pt idx="0">
                  <c:v>3</c:v>
                </c:pt>
                <c:pt idx="1">
                  <c:v>2</c:v>
                </c:pt>
              </c:numCache>
            </c:numRef>
          </c:val>
          <c:extLst>
            <c:ext xmlns:c16="http://schemas.microsoft.com/office/drawing/2014/chart" uri="{C3380CC4-5D6E-409C-BE32-E72D297353CC}">
              <c16:uniqueId val="{00000000-9503-440F-A1A0-23ED66837917}"/>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3.xml"/><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editAs="absolute">
    <xdr:from>
      <xdr:col>12</xdr:col>
      <xdr:colOff>335280</xdr:colOff>
      <xdr:row>0</xdr:row>
      <xdr:rowOff>312421</xdr:rowOff>
    </xdr:from>
    <xdr:to>
      <xdr:col>15</xdr:col>
      <xdr:colOff>335280</xdr:colOff>
      <xdr:row>9</xdr:row>
      <xdr:rowOff>205740</xdr:rowOff>
    </xdr:to>
    <mc:AlternateContent xmlns:mc="http://schemas.openxmlformats.org/markup-compatibility/2006" xmlns:sle15="http://schemas.microsoft.com/office/drawing/2012/slicer">
      <mc:Choice Requires="sle15">
        <xdr:graphicFrame macro="">
          <xdr:nvGraphicFramePr>
            <xdr:cNvPr id="3" name="grade">
              <a:extLst>
                <a:ext uri="{FF2B5EF4-FFF2-40B4-BE49-F238E27FC236}">
                  <a16:creationId xmlns:a16="http://schemas.microsoft.com/office/drawing/2014/main" id="{7F7E9852-403B-36C6-9BE0-EC0E1454D168}"/>
                </a:ext>
              </a:extLst>
            </xdr:cNvPr>
            <xdr:cNvGraphicFramePr/>
          </xdr:nvGraphicFramePr>
          <xdr:xfrm>
            <a:off x="0" y="0"/>
            <a:ext cx="0" cy="0"/>
          </xdr:xfrm>
          <a:graphic>
            <a:graphicData uri="http://schemas.microsoft.com/office/drawing/2010/slicer">
              <sle:slicer xmlns:sle="http://schemas.microsoft.com/office/drawing/2010/slicer" name="grade"/>
            </a:graphicData>
          </a:graphic>
        </xdr:graphicFrame>
      </mc:Choice>
      <mc:Fallback xmlns="">
        <xdr:sp macro="" textlink="">
          <xdr:nvSpPr>
            <xdr:cNvPr id="0" name=""/>
            <xdr:cNvSpPr>
              <a:spLocks noTextEdit="1"/>
            </xdr:cNvSpPr>
          </xdr:nvSpPr>
          <xdr:spPr>
            <a:xfrm>
              <a:off x="9806940" y="312421"/>
              <a:ext cx="1828800" cy="1699259"/>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15</xdr:col>
      <xdr:colOff>525780</xdr:colOff>
      <xdr:row>0</xdr:row>
      <xdr:rowOff>289561</xdr:rowOff>
    </xdr:from>
    <xdr:to>
      <xdr:col>18</xdr:col>
      <xdr:colOff>525780</xdr:colOff>
      <xdr:row>7</xdr:row>
      <xdr:rowOff>76201</xdr:rowOff>
    </xdr:to>
    <mc:AlternateContent xmlns:mc="http://schemas.openxmlformats.org/markup-compatibility/2006" xmlns:sle15="http://schemas.microsoft.com/office/drawing/2012/slicer">
      <mc:Choice Requires="sle15">
        <xdr:graphicFrame macro="">
          <xdr:nvGraphicFramePr>
            <xdr:cNvPr id="4" name="status">
              <a:extLst>
                <a:ext uri="{FF2B5EF4-FFF2-40B4-BE49-F238E27FC236}">
                  <a16:creationId xmlns:a16="http://schemas.microsoft.com/office/drawing/2014/main" id="{14116A18-B36A-4043-B443-5437F8C27CC1}"/>
                </a:ext>
              </a:extLst>
            </xdr:cNvPr>
            <xdr:cNvGraphicFramePr/>
          </xdr:nvGraphicFramePr>
          <xdr:xfrm>
            <a:off x="0" y="0"/>
            <a:ext cx="0" cy="0"/>
          </xdr:xfrm>
          <a:graphic>
            <a:graphicData uri="http://schemas.microsoft.com/office/drawing/2010/slicer">
              <sle:slicer xmlns:sle="http://schemas.microsoft.com/office/drawing/2010/slicer" name="status"/>
            </a:graphicData>
          </a:graphic>
        </xdr:graphicFrame>
      </mc:Choice>
      <mc:Fallback xmlns="">
        <xdr:sp macro="" textlink="">
          <xdr:nvSpPr>
            <xdr:cNvPr id="0" name=""/>
            <xdr:cNvSpPr>
              <a:spLocks noTextEdit="1"/>
            </xdr:cNvSpPr>
          </xdr:nvSpPr>
          <xdr:spPr>
            <a:xfrm>
              <a:off x="11826240" y="289561"/>
              <a:ext cx="1828800" cy="1249680"/>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xdr:from>
      <xdr:col>0</xdr:col>
      <xdr:colOff>579120</xdr:colOff>
      <xdr:row>10</xdr:row>
      <xdr:rowOff>76200</xdr:rowOff>
    </xdr:from>
    <xdr:to>
      <xdr:col>6</xdr:col>
      <xdr:colOff>342900</xdr:colOff>
      <xdr:row>22</xdr:row>
      <xdr:rowOff>137160</xdr:rowOff>
    </xdr:to>
    <xdr:graphicFrame macro="">
      <xdr:nvGraphicFramePr>
        <xdr:cNvPr id="5" name="Chart 4">
          <a:extLst>
            <a:ext uri="{FF2B5EF4-FFF2-40B4-BE49-F238E27FC236}">
              <a16:creationId xmlns:a16="http://schemas.microsoft.com/office/drawing/2014/main" id="{80F46FEC-4DC3-4909-6943-A97FDE85B5C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137160</xdr:colOff>
      <xdr:row>7</xdr:row>
      <xdr:rowOff>110490</xdr:rowOff>
    </xdr:from>
    <xdr:to>
      <xdr:col>7</xdr:col>
      <xdr:colOff>342900</xdr:colOff>
      <xdr:row>22</xdr:row>
      <xdr:rowOff>110490</xdr:rowOff>
    </xdr:to>
    <xdr:graphicFrame macro="">
      <xdr:nvGraphicFramePr>
        <xdr:cNvPr id="2" name="Chart 1">
          <a:extLst>
            <a:ext uri="{FF2B5EF4-FFF2-40B4-BE49-F238E27FC236}">
              <a16:creationId xmlns:a16="http://schemas.microsoft.com/office/drawing/2014/main" id="{12D2C368-6D0B-DA89-B9F1-8D32AE67AA0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563880</xdr:colOff>
      <xdr:row>6</xdr:row>
      <xdr:rowOff>11430</xdr:rowOff>
    </xdr:from>
    <xdr:to>
      <xdr:col>14</xdr:col>
      <xdr:colOff>259080</xdr:colOff>
      <xdr:row>21</xdr:row>
      <xdr:rowOff>11430</xdr:rowOff>
    </xdr:to>
    <xdr:graphicFrame macro="">
      <xdr:nvGraphicFramePr>
        <xdr:cNvPr id="4" name="Chart 3">
          <a:extLst>
            <a:ext uri="{FF2B5EF4-FFF2-40B4-BE49-F238E27FC236}">
              <a16:creationId xmlns:a16="http://schemas.microsoft.com/office/drawing/2014/main" id="{223CDA53-A3DE-D0DF-FCDA-E2961343070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rade" xr10:uid="{ABC0132D-34F6-4233-ADDD-70E2CA0D9E00}" sourceName="grade">
  <extLst>
    <x:ext xmlns:x15="http://schemas.microsoft.com/office/spreadsheetml/2010/11/main" uri="{2F2917AC-EB37-4324-AD4E-5DD8C200BD13}">
      <x15:tableSlicerCache tableId="1" column="12"/>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us" xr10:uid="{60EC489C-2D18-4877-BD3F-11CFBC5D7236}" sourceName="status">
  <extLst>
    <x:ext xmlns:x15="http://schemas.microsoft.com/office/spreadsheetml/2010/11/main" uri="{2F2917AC-EB37-4324-AD4E-5DD8C200BD13}">
      <x15:tableSlicerCache tableId="1" column="11"/>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rade" xr10:uid="{9306155D-1551-447C-88B5-13B8734656EC}" cache="Slicer_grade" caption="grade" rowHeight="247650"/>
  <slicer name="status" xr10:uid="{B6AFAE21-0E6E-4028-B481-0135DD3FB967}" cache="Slicer_status" caption="status"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A1EF991-CBF9-42FD-9081-6DFC0E56D182}" name="Table1" displayName="Table1" ref="A3:L8" totalsRowShown="0" headerRowDxfId="62" headerRowBorderDxfId="61" tableBorderDxfId="60" totalsRowBorderDxfId="59">
  <autoFilter ref="A3:L8" xr:uid="{0A1EF991-CBF9-42FD-9081-6DFC0E56D182}"/>
  <tableColumns count="12">
    <tableColumn id="1" xr3:uid="{520B9833-4709-47D1-A19C-79E8EF607D9B}" name="s,no" dataDxfId="58"/>
    <tableColumn id="2" xr3:uid="{C5B1B927-1CB6-4C15-BCD5-8134446A3DD2}" name=" student-name" dataDxfId="57"/>
    <tableColumn id="3" xr3:uid="{00FA2BC6-BBF7-4689-8554-A462821B079C}" name="telugu" dataDxfId="56"/>
    <tableColumn id="4" xr3:uid="{F75ED52F-AB05-41BE-B97C-6D495C79F052}" name="english" dataDxfId="55"/>
    <tableColumn id="5" xr3:uid="{2602498B-BA2B-48B5-9DBE-B2EFF54DB9C4}" name="maths" dataDxfId="54"/>
    <tableColumn id="6" xr3:uid="{8DC6030F-446F-42C6-8059-E0F4C2188291}" name="biology" dataDxfId="53"/>
    <tableColumn id="7" xr3:uid="{DF2003E0-9D21-4409-AEFD-C89AD4C02071}" name="hindi" dataDxfId="52"/>
    <tableColumn id="8" xr3:uid="{27FA200C-186F-4AED-9B2B-238BB31CF221}" name="social" dataDxfId="51"/>
    <tableColumn id="9" xr3:uid="{7E2ACDCB-9EF1-4CD8-BF08-59208D437CE7}" name="total" dataDxfId="50">
      <calculatedColumnFormula>SUM(C4:H4)</calculatedColumnFormula>
    </tableColumn>
    <tableColumn id="10" xr3:uid="{D735114D-D7A4-4271-B6C5-6372954D3CE6}" name="percentage" dataDxfId="49">
      <calculatedColumnFormula>I4/600</calculatedColumnFormula>
    </tableColumn>
    <tableColumn id="11" xr3:uid="{F38FFF6E-D70C-49AC-97D2-8F8DF678AF34}" name="status" dataDxfId="48">
      <calculatedColumnFormula>IF(MIN(C4:H4)&gt;=35,"Pass","Fail")</calculatedColumnFormula>
    </tableColumn>
    <tableColumn id="12" xr3:uid="{5A5578B8-CD3D-4141-8DFE-0209F47EC0F1}" name="grade" dataDxfId="47">
      <calculatedColumnFormula>IF(K4="Fail","F",IF(J4&gt;=90%,"A+",IF(J4&gt;=80%,"A",IF(J4&gt;=70%,"B",IF(J4&gt;=60%,"C",IF(J4&gt;=50%,"D","F"))))))</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table" Target="../tables/table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B8448A-173D-42C3-875E-31CFDD51F1FD}">
  <dimension ref="A1:L11"/>
  <sheetViews>
    <sheetView workbookViewId="0">
      <selection activeCell="K4" sqref="K4"/>
    </sheetView>
  </sheetViews>
  <sheetFormatPr defaultRowHeight="14.4" x14ac:dyDescent="0.3"/>
  <cols>
    <col min="2" max="2" width="17" customWidth="1"/>
    <col min="3" max="3" width="10.6640625" customWidth="1"/>
    <col min="4" max="4" width="10.88671875" customWidth="1"/>
    <col min="5" max="5" width="11.21875" customWidth="1"/>
    <col min="6" max="6" width="11.44140625" customWidth="1"/>
    <col min="7" max="7" width="10.77734375" customWidth="1"/>
    <col min="8" max="9" width="10.6640625" customWidth="1"/>
    <col min="10" max="10" width="14.33203125" customWidth="1"/>
    <col min="11" max="11" width="10.6640625" customWidth="1"/>
    <col min="12" max="12" width="10.88671875" customWidth="1"/>
  </cols>
  <sheetData>
    <row r="1" spans="1:12" ht="28.8" x14ac:dyDescent="0.55000000000000004">
      <c r="A1" s="29" t="s">
        <v>13</v>
      </c>
      <c r="B1" s="29"/>
      <c r="C1" s="29"/>
      <c r="D1" s="29"/>
      <c r="E1" s="29"/>
      <c r="F1" s="29"/>
      <c r="G1" s="29"/>
      <c r="H1" s="29"/>
    </row>
    <row r="3" spans="1:12" x14ac:dyDescent="0.3">
      <c r="A3" s="8" t="s">
        <v>0</v>
      </c>
      <c r="B3" s="9" t="s">
        <v>1</v>
      </c>
      <c r="C3" s="10" t="s">
        <v>2</v>
      </c>
      <c r="D3" s="10" t="s">
        <v>3</v>
      </c>
      <c r="E3" s="10" t="s">
        <v>4</v>
      </c>
      <c r="F3" s="10" t="s">
        <v>5</v>
      </c>
      <c r="G3" s="10" t="s">
        <v>6</v>
      </c>
      <c r="H3" s="10" t="s">
        <v>7</v>
      </c>
      <c r="I3" s="10" t="s">
        <v>14</v>
      </c>
      <c r="J3" s="10" t="s">
        <v>15</v>
      </c>
      <c r="K3" s="10" t="s">
        <v>16</v>
      </c>
      <c r="L3" s="11" t="s">
        <v>17</v>
      </c>
    </row>
    <row r="4" spans="1:12" x14ac:dyDescent="0.3">
      <c r="A4" s="5">
        <v>1</v>
      </c>
      <c r="B4" s="2" t="s">
        <v>8</v>
      </c>
      <c r="C4" s="2">
        <v>45</v>
      </c>
      <c r="D4" s="2">
        <v>67</v>
      </c>
      <c r="E4" s="2">
        <v>36</v>
      </c>
      <c r="F4" s="2">
        <v>78</v>
      </c>
      <c r="G4" s="2">
        <v>32</v>
      </c>
      <c r="H4" s="2">
        <v>87</v>
      </c>
      <c r="I4" s="3">
        <f t="shared" ref="I4:I8" si="0">SUM(C4:H4)</f>
        <v>345</v>
      </c>
      <c r="J4" s="12">
        <f t="shared" ref="J4:J8" si="1">I4/600</f>
        <v>0.57499999999999996</v>
      </c>
      <c r="K4" s="3" t="str">
        <f>IF(MIN(C4:H4)&gt;=35,"Pass","Fail")</f>
        <v>Fail</v>
      </c>
      <c r="L4" t="str">
        <f t="shared" ref="L4:L8" si="2">IF(K4="Fail","F",IF(J4&gt;=90%,"A+",IF(J4&gt;=80%,"A",IF(J4&gt;=70%,"B",IF(J4&gt;=60%,"C",IF(J4&gt;=50%,"D","F"))))))</f>
        <v>F</v>
      </c>
    </row>
    <row r="5" spans="1:12" x14ac:dyDescent="0.3">
      <c r="A5" s="5">
        <v>2</v>
      </c>
      <c r="B5" s="2" t="s">
        <v>9</v>
      </c>
      <c r="C5" s="2">
        <v>55</v>
      </c>
      <c r="D5" s="2">
        <v>88</v>
      </c>
      <c r="E5" s="2">
        <v>67</v>
      </c>
      <c r="F5" s="2">
        <v>88</v>
      </c>
      <c r="G5" s="2">
        <v>43</v>
      </c>
      <c r="H5" s="2">
        <v>98</v>
      </c>
      <c r="I5" s="3">
        <f t="shared" si="0"/>
        <v>439</v>
      </c>
      <c r="J5" s="4">
        <f t="shared" si="1"/>
        <v>0.73166666666666669</v>
      </c>
      <c r="K5" s="3" t="str">
        <f t="shared" ref="K5:K8" si="3">IF(MIN(C5:H5)&gt;=35,"Pass","Fail")</f>
        <v>Pass</v>
      </c>
      <c r="L5" t="str">
        <f t="shared" si="2"/>
        <v>B</v>
      </c>
    </row>
    <row r="6" spans="1:12" x14ac:dyDescent="0.3">
      <c r="A6" s="5">
        <v>3</v>
      </c>
      <c r="B6" s="2" t="s">
        <v>10</v>
      </c>
      <c r="C6" s="2">
        <v>12</v>
      </c>
      <c r="D6" s="2">
        <v>23</v>
      </c>
      <c r="E6" s="2">
        <v>15</v>
      </c>
      <c r="F6" s="2">
        <v>32</v>
      </c>
      <c r="G6" s="2">
        <v>11</v>
      </c>
      <c r="H6" s="2">
        <v>32</v>
      </c>
      <c r="I6" s="3">
        <f t="shared" si="0"/>
        <v>125</v>
      </c>
      <c r="J6" s="4">
        <f t="shared" si="1"/>
        <v>0.20833333333333334</v>
      </c>
      <c r="K6" s="3" t="str">
        <f t="shared" si="3"/>
        <v>Fail</v>
      </c>
      <c r="L6" t="str">
        <f t="shared" si="2"/>
        <v>F</v>
      </c>
    </row>
    <row r="7" spans="1:12" x14ac:dyDescent="0.3">
      <c r="A7" s="5">
        <v>4</v>
      </c>
      <c r="B7" s="2" t="s">
        <v>11</v>
      </c>
      <c r="C7" s="2">
        <v>39</v>
      </c>
      <c r="D7" s="2">
        <v>45</v>
      </c>
      <c r="E7" s="2">
        <v>69</v>
      </c>
      <c r="F7" s="2">
        <v>84</v>
      </c>
      <c r="G7" s="2">
        <v>65</v>
      </c>
      <c r="H7" s="2">
        <v>60</v>
      </c>
      <c r="I7" s="3">
        <f t="shared" si="0"/>
        <v>362</v>
      </c>
      <c r="J7" s="4">
        <f t="shared" si="1"/>
        <v>0.60333333333333339</v>
      </c>
      <c r="K7" s="3" t="str">
        <f t="shared" si="3"/>
        <v>Pass</v>
      </c>
      <c r="L7" t="str">
        <f t="shared" si="2"/>
        <v>C</v>
      </c>
    </row>
    <row r="8" spans="1:12" x14ac:dyDescent="0.3">
      <c r="A8" s="6">
        <v>5</v>
      </c>
      <c r="B8" s="7" t="s">
        <v>12</v>
      </c>
      <c r="C8" s="7">
        <v>55</v>
      </c>
      <c r="D8" s="7">
        <v>52</v>
      </c>
      <c r="E8" s="7">
        <v>70</v>
      </c>
      <c r="F8" s="7">
        <v>66</v>
      </c>
      <c r="G8" s="7">
        <v>76</v>
      </c>
      <c r="H8" s="7">
        <v>70</v>
      </c>
      <c r="I8" s="3">
        <f t="shared" si="0"/>
        <v>389</v>
      </c>
      <c r="J8" s="4">
        <f t="shared" si="1"/>
        <v>0.64833333333333332</v>
      </c>
      <c r="K8" s="3" t="str">
        <f t="shared" si="3"/>
        <v>Pass</v>
      </c>
      <c r="L8" t="str">
        <f t="shared" si="2"/>
        <v>C</v>
      </c>
    </row>
    <row r="9" spans="1:12" ht="12.6" customHeight="1" x14ac:dyDescent="0.3">
      <c r="B9" s="1"/>
    </row>
    <row r="10" spans="1:12" ht="26.4" customHeight="1" x14ac:dyDescent="0.3">
      <c r="B10" s="32" t="s">
        <v>18</v>
      </c>
      <c r="C10" s="31"/>
      <c r="D10" s="31"/>
      <c r="E10" s="31"/>
      <c r="F10" s="31"/>
    </row>
    <row r="11" spans="1:12" x14ac:dyDescent="0.3">
      <c r="B11" s="30"/>
      <c r="C11" s="31"/>
      <c r="D11" s="31"/>
      <c r="E11" s="31"/>
      <c r="F11" s="31"/>
      <c r="G11" s="31"/>
    </row>
  </sheetData>
  <mergeCells count="3">
    <mergeCell ref="A1:H1"/>
    <mergeCell ref="B11:G11"/>
    <mergeCell ref="B10:F10"/>
  </mergeCells>
  <phoneticPr fontId="6" type="noConversion"/>
  <conditionalFormatting sqref="K4:K8">
    <cfRule type="containsText" dxfId="46" priority="1" operator="containsText" text="fail">
      <formula>NOT(ISERROR(SEARCH("fail",K4)))</formula>
    </cfRule>
    <cfRule type="containsText" dxfId="45" priority="2" operator="containsText" text="pass">
      <formula>NOT(ISERROR(SEARCH("pass",K4)))</formula>
    </cfRule>
  </conditionalFormatting>
  <pageMargins left="0.7" right="0.7" top="0.75" bottom="0.75" header="0.3" footer="0.3"/>
  <drawing r:id="rId1"/>
  <tableParts count="1">
    <tablePart r:id="rId2"/>
  </tableParts>
  <extLst>
    <ext xmlns:x15="http://schemas.microsoft.com/office/spreadsheetml/2010/11/main" uri="{3A4CF648-6AED-40f4-86FF-DC5316D8AED3}">
      <x14:slicerList xmlns:x14="http://schemas.microsoft.com/office/spreadsheetml/2009/9/main">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0B4E07-3B37-4218-9E99-25890228F2FE}">
  <dimension ref="A1:I6"/>
  <sheetViews>
    <sheetView tabSelected="1" workbookViewId="0"/>
  </sheetViews>
  <sheetFormatPr defaultRowHeight="14.4" x14ac:dyDescent="0.3"/>
  <cols>
    <col min="2" max="2" width="10.33203125" customWidth="1"/>
    <col min="4" max="4" width="27.6640625" customWidth="1"/>
  </cols>
  <sheetData>
    <row r="1" spans="1:9" x14ac:dyDescent="0.3">
      <c r="A1" s="19" t="s">
        <v>19</v>
      </c>
      <c r="B1" s="20" t="s">
        <v>20</v>
      </c>
      <c r="D1" s="31" t="s">
        <v>21</v>
      </c>
      <c r="E1" s="31"/>
    </row>
    <row r="2" spans="1:9" ht="15.6" x14ac:dyDescent="0.3">
      <c r="A2" s="18" t="str">
        <f>Sheet1!B4</f>
        <v>ramesh</v>
      </c>
      <c r="B2" s="17">
        <f>Sheet1!J4</f>
        <v>0.57499999999999996</v>
      </c>
      <c r="D2" s="31"/>
      <c r="E2" s="31"/>
      <c r="H2" s="34" t="s">
        <v>16</v>
      </c>
      <c r="I2" s="34" t="s">
        <v>26</v>
      </c>
    </row>
    <row r="3" spans="1:9" ht="15.6" x14ac:dyDescent="0.3">
      <c r="A3" s="18" t="str">
        <f>Sheet1!B5</f>
        <v>bhavani</v>
      </c>
      <c r="B3" s="17">
        <f>Sheet1!J5</f>
        <v>0.73166666666666669</v>
      </c>
      <c r="D3" s="23" t="s">
        <v>22</v>
      </c>
      <c r="E3" s="24">
        <f>COUNTA(Sheet1!B4:B8)</f>
        <v>5</v>
      </c>
      <c r="F3" s="22"/>
      <c r="H3" s="35" t="s">
        <v>27</v>
      </c>
      <c r="I3" s="36">
        <v>3</v>
      </c>
    </row>
    <row r="4" spans="1:9" ht="15.6" x14ac:dyDescent="0.3">
      <c r="A4" s="13" t="str">
        <f>Sheet1!B6</f>
        <v>nithya</v>
      </c>
      <c r="B4" s="14">
        <f>Sheet1!J6</f>
        <v>0.20833333333333334</v>
      </c>
      <c r="D4" s="25" t="s">
        <v>23</v>
      </c>
      <c r="E4" s="26">
        <f>COUNTIF(Sheet1!K4:K8,"Pass")</f>
        <v>3</v>
      </c>
      <c r="H4" s="36" t="s">
        <v>28</v>
      </c>
      <c r="I4" s="36">
        <v>2</v>
      </c>
    </row>
    <row r="5" spans="1:9" ht="15.6" x14ac:dyDescent="0.3">
      <c r="A5" s="15" t="str">
        <f>Sheet1!B7</f>
        <v>faran</v>
      </c>
      <c r="B5" s="4">
        <f>Sheet1!J7</f>
        <v>0.60333333333333339</v>
      </c>
      <c r="D5" s="27" t="s">
        <v>24</v>
      </c>
      <c r="E5" s="26">
        <f>COUNTIF(Sheet1!K4:K8,"Fail")</f>
        <v>2</v>
      </c>
    </row>
    <row r="6" spans="1:9" ht="15.6" x14ac:dyDescent="0.3">
      <c r="A6" s="16" t="str">
        <f>Sheet1!B8</f>
        <v>dileep</v>
      </c>
      <c r="B6" s="14">
        <f>Sheet1!J8</f>
        <v>0.64833333333333332</v>
      </c>
      <c r="D6" s="28" t="s">
        <v>25</v>
      </c>
      <c r="E6" s="33">
        <f>AVERAGE(Sheet1!J4:J8)</f>
        <v>0.55333333333333334</v>
      </c>
      <c r="G6" s="21"/>
    </row>
  </sheetData>
  <mergeCells count="1">
    <mergeCell ref="D1:E2"/>
  </mergeCells>
  <conditionalFormatting sqref="H3">
    <cfRule type="containsText" dxfId="16" priority="9" operator="containsText" text="pass">
      <formula>NOT(ISERROR(SEARCH("pass",H3)))</formula>
    </cfRule>
    <cfRule type="containsText" dxfId="15" priority="8" operator="containsText" text="pass">
      <formula>NOT(ISERROR(SEARCH("pass",H3)))</formula>
    </cfRule>
    <cfRule type="containsText" dxfId="14" priority="7" operator="containsText" text="pass">
      <formula>NOT(ISERROR(SEARCH("pass",H3)))</formula>
    </cfRule>
  </conditionalFormatting>
  <conditionalFormatting sqref="H4">
    <cfRule type="containsText" dxfId="13" priority="6" operator="containsText" text="fail">
      <formula>NOT(ISERROR(SEARCH("fail",H4)))</formula>
    </cfRule>
    <cfRule type="containsText" dxfId="12" priority="5" operator="containsText" text="fail">
      <formula>NOT(ISERROR(SEARCH("fail",H4)))</formula>
    </cfRule>
  </conditionalFormatting>
  <conditionalFormatting sqref="I3">
    <cfRule type="containsText" dxfId="11" priority="4" operator="containsText" text="pass">
      <formula>NOT(ISERROR(SEARCH("pass",I3)))</formula>
    </cfRule>
    <cfRule type="containsText" dxfId="10" priority="2" operator="containsText" text="3">
      <formula>NOT(ISERROR(SEARCH("3",I3)))</formula>
    </cfRule>
  </conditionalFormatting>
  <conditionalFormatting sqref="H3:I3">
    <cfRule type="containsText" dxfId="9" priority="3" operator="containsText" text="pass">
      <formula>NOT(ISERROR(SEARCH("pass",H3)))</formula>
    </cfRule>
  </conditionalFormatting>
  <conditionalFormatting sqref="I4">
    <cfRule type="containsText" dxfId="0" priority="1" operator="containsText" text="2">
      <formula>NOT(ISERROR(SEARCH("2",I4)))</formula>
    </cfRule>
  </conditionalFormatting>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meghanavipari@gmail.com</dc:creator>
  <cp:lastModifiedBy>meghanavipari@gmail.com</cp:lastModifiedBy>
  <dcterms:created xsi:type="dcterms:W3CDTF">2026-10-05T13:12:21Z</dcterms:created>
  <dcterms:modified xsi:type="dcterms:W3CDTF">2026-10-11T14:53:16Z</dcterms:modified>
</cp:coreProperties>
</file>